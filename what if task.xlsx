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esktop\"/>
    </mc:Choice>
  </mc:AlternateContent>
  <xr:revisionPtr revIDLastSave="0" documentId="8_{9A7C96E8-11F2-4C21-B09E-25F8B84C9A94}" xr6:coauthVersionLast="47" xr6:coauthVersionMax="47" xr10:uidLastSave="{00000000-0000-0000-0000-000000000000}"/>
  <bookViews>
    <workbookView xWindow="-110" yWindow="-110" windowWidth="19420" windowHeight="10300" activeTab="1" xr2:uid="{24141EA9-FD0F-4B03-94A0-73CB0C39EA9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2" l="1"/>
  <c r="E27" i="2" s="1"/>
  <c r="D16" i="2"/>
  <c r="D13" i="2"/>
  <c r="H6" i="2"/>
  <c r="K3" i="2" s="1"/>
  <c r="D6" i="2"/>
  <c r="C10" i="1"/>
  <c r="C11" i="1" s="1"/>
  <c r="C9" i="1"/>
  <c r="C12" i="1" l="1"/>
</calcChain>
</file>

<file path=xl/sharedStrings.xml><?xml version="1.0" encoding="utf-8"?>
<sst xmlns="http://schemas.openxmlformats.org/spreadsheetml/2006/main" count="30" uniqueCount="25">
  <si>
    <t>selling price</t>
  </si>
  <si>
    <t>cost per unit</t>
  </si>
  <si>
    <t>fixed costs</t>
  </si>
  <si>
    <t>number of units to selll</t>
  </si>
  <si>
    <t>total revenue</t>
  </si>
  <si>
    <t>total variable costs</t>
  </si>
  <si>
    <t>total costs</t>
  </si>
  <si>
    <t>profit</t>
  </si>
  <si>
    <t>target profit</t>
  </si>
  <si>
    <t>description</t>
  </si>
  <si>
    <t>value</t>
  </si>
  <si>
    <t>loan amount</t>
  </si>
  <si>
    <t>annual interest rate</t>
  </si>
  <si>
    <t>loan term</t>
  </si>
  <si>
    <t>monthly payment</t>
  </si>
  <si>
    <t>interest rate</t>
  </si>
  <si>
    <t>unit selling price</t>
  </si>
  <si>
    <t>sales volume</t>
  </si>
  <si>
    <t>Description</t>
  </si>
  <si>
    <t>Value</t>
  </si>
  <si>
    <t>Selling Price per Unit</t>
  </si>
  <si>
    <t>Fixed Costs</t>
  </si>
  <si>
    <t>COGS</t>
  </si>
  <si>
    <t>Units Sold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</si>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</sst>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9" fontId="0" fillId="0" borderId="1" xfId="0" applyNumberFormat="1" applyBorder="1"/>
    <xf numFmtId="8" fontId="0" fillId="0" borderId="1" xfId="0" applyNumberFormat="1" applyBorder="1"/>
    <xf numFmtId="0" fontId="1" fillId="0" borderId="1" xfId="0" applyFont="1" applyBorder="1" applyAlignment="1">
      <alignment horizontal="left" vertical="center" wrapText="1" indent="4"/>
    </xf>
    <xf numFmtId="0" fontId="0" fillId="0" borderId="1" xfId="0" applyBorder="1" applyAlignment="1">
      <alignment horizontal="left" vertical="center" indent="4"/>
    </xf>
    <xf numFmtId="0" fontId="0" fillId="0" borderId="1" xfId="0" applyBorder="1" applyAlignment="1">
      <alignment horizontal="left" vertical="center" wrapText="1" indent="4"/>
    </xf>
    <xf numFmtId="0" fontId="0" fillId="0" borderId="1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8" fontId="0" fillId="0" borderId="2" xfId="0" applyNumberFormat="1" applyBorder="1"/>
    <xf numFmtId="1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35560</xdr:colOff>
      <xdr:row>13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BE68E-7F15-0DFD-C59B-070F01455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8650" y="374650"/>
          <a:ext cx="4912360" cy="232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8BB8-9E7F-4733-B0C3-008B422B325C}">
  <dimension ref="B2:C13"/>
  <sheetViews>
    <sheetView workbookViewId="0">
      <selection activeCell="O5" sqref="O5"/>
    </sheetView>
  </sheetViews>
  <sheetFormatPr defaultRowHeight="14.5" x14ac:dyDescent="0.35"/>
  <cols>
    <col min="2" max="2" width="19.90625" customWidth="1"/>
  </cols>
  <sheetData>
    <row r="2" spans="2:3" ht="15" thickBot="1" x14ac:dyDescent="0.4"/>
    <row r="3" spans="2:3" ht="15.5" thickTop="1" thickBot="1" x14ac:dyDescent="0.4">
      <c r="B3" s="1" t="s">
        <v>9</v>
      </c>
      <c r="C3" s="1" t="s">
        <v>10</v>
      </c>
    </row>
    <row r="4" spans="2:3" ht="15.5" thickTop="1" thickBot="1" x14ac:dyDescent="0.4">
      <c r="B4" s="1" t="s">
        <v>0</v>
      </c>
      <c r="C4" s="1">
        <v>50</v>
      </c>
    </row>
    <row r="5" spans="2:3" ht="15.5" thickTop="1" thickBot="1" x14ac:dyDescent="0.4">
      <c r="B5" s="1" t="s">
        <v>1</v>
      </c>
      <c r="C5" s="1">
        <v>30</v>
      </c>
    </row>
    <row r="6" spans="2:3" ht="15.5" thickTop="1" thickBot="1" x14ac:dyDescent="0.4">
      <c r="B6" s="1" t="s">
        <v>2</v>
      </c>
      <c r="C6" s="1">
        <v>4000</v>
      </c>
    </row>
    <row r="7" spans="2:3" ht="15.5" thickTop="1" thickBot="1" x14ac:dyDescent="0.4">
      <c r="B7" s="1" t="s">
        <v>8</v>
      </c>
      <c r="C7" s="1">
        <v>10000</v>
      </c>
    </row>
    <row r="8" spans="2:3" ht="15.5" thickTop="1" thickBot="1" x14ac:dyDescent="0.4">
      <c r="B8" s="1" t="s">
        <v>3</v>
      </c>
      <c r="C8" s="1">
        <v>526.31578947368439</v>
      </c>
    </row>
    <row r="9" spans="2:3" ht="15.5" thickTop="1" thickBot="1" x14ac:dyDescent="0.4">
      <c r="B9" s="1" t="s">
        <v>4</v>
      </c>
      <c r="C9" s="1">
        <f>C4*C8</f>
        <v>26315.789473684221</v>
      </c>
    </row>
    <row r="10" spans="2:3" ht="15.5" thickTop="1" thickBot="1" x14ac:dyDescent="0.4">
      <c r="B10" s="1" t="s">
        <v>5</v>
      </c>
      <c r="C10" s="1">
        <f>C5*C8</f>
        <v>15789.473684210532</v>
      </c>
    </row>
    <row r="11" spans="2:3" ht="15.5" thickTop="1" thickBot="1" x14ac:dyDescent="0.4">
      <c r="B11" s="1" t="s">
        <v>6</v>
      </c>
      <c r="C11" s="1">
        <f>C10+C8</f>
        <v>16315.789473684217</v>
      </c>
    </row>
    <row r="12" spans="2:3" ht="15.5" thickTop="1" thickBot="1" x14ac:dyDescent="0.4">
      <c r="B12" s="1" t="s">
        <v>7</v>
      </c>
      <c r="C12" s="1">
        <f>C9-C11</f>
        <v>10000.000000000004</v>
      </c>
    </row>
    <row r="13" spans="2:3" ht="15" thickTop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D778-D984-4796-8742-2D8EC35F27E9}">
  <dimension ref="B2:N36"/>
  <sheetViews>
    <sheetView tabSelected="1" workbookViewId="0">
      <selection activeCell="G13" sqref="G13"/>
    </sheetView>
  </sheetViews>
  <sheetFormatPr defaultRowHeight="14.5" x14ac:dyDescent="0.35"/>
  <cols>
    <col min="2" max="2" width="24" customWidth="1"/>
    <col min="3" max="3" width="19.81640625" customWidth="1"/>
    <col min="7" max="7" width="15.81640625" customWidth="1"/>
    <col min="10" max="10" width="12.54296875" customWidth="1"/>
  </cols>
  <sheetData>
    <row r="2" spans="3:11" ht="15" thickBot="1" x14ac:dyDescent="0.4"/>
    <row r="3" spans="3:11" ht="15.5" thickTop="1" thickBot="1" x14ac:dyDescent="0.4">
      <c r="C3" s="1" t="s">
        <v>11</v>
      </c>
      <c r="D3" s="1">
        <v>20000</v>
      </c>
      <c r="G3" s="1" t="s">
        <v>11</v>
      </c>
      <c r="H3" s="1">
        <v>15000</v>
      </c>
      <c r="J3" s="17" t="s">
        <v>15</v>
      </c>
      <c r="K3" s="18">
        <f>H6</f>
        <v>276.24783082899529</v>
      </c>
    </row>
    <row r="4" spans="3:11" ht="15.5" thickTop="1" thickBot="1" x14ac:dyDescent="0.4">
      <c r="C4" s="1" t="s">
        <v>12</v>
      </c>
      <c r="D4" s="2">
        <v>0.06</v>
      </c>
      <c r="G4" s="1" t="s">
        <v>15</v>
      </c>
      <c r="H4" s="2">
        <v>0.04</v>
      </c>
      <c r="J4" s="19">
        <v>0.04</v>
      </c>
      <c r="K4" s="17">
        <f t="dataTable" ref="K4:K12" dt2D="0" dtr="0" r1="H4"/>
        <v>276.24783082899529</v>
      </c>
    </row>
    <row r="5" spans="3:11" ht="15.5" thickTop="1" thickBot="1" x14ac:dyDescent="0.4">
      <c r="C5" s="1" t="s">
        <v>13</v>
      </c>
      <c r="D5" s="1">
        <v>5</v>
      </c>
      <c r="G5" s="1" t="s">
        <v>13</v>
      </c>
      <c r="H5" s="1">
        <v>5</v>
      </c>
      <c r="J5" s="19">
        <v>4.4999999999999998E-2</v>
      </c>
      <c r="K5" s="17">
        <v>279.64528862274972</v>
      </c>
    </row>
    <row r="6" spans="3:11" ht="15.5" thickTop="1" thickBot="1" x14ac:dyDescent="0.4">
      <c r="C6" s="1" t="s">
        <v>14</v>
      </c>
      <c r="D6" s="3">
        <f>PMT(D4/12,D5*12,-D3)</f>
        <v>386.65603058855828</v>
      </c>
      <c r="G6" s="1" t="s">
        <v>14</v>
      </c>
      <c r="H6" s="3">
        <f>PMT(H4/12,H5*12,-H3)</f>
        <v>276.24783082899529</v>
      </c>
      <c r="J6" s="19">
        <v>0.05</v>
      </c>
      <c r="K6" s="17">
        <v>283.06850466016402</v>
      </c>
    </row>
    <row r="7" spans="3:11" ht="15" thickTop="1" x14ac:dyDescent="0.35">
      <c r="J7" s="19">
        <v>5.5E-2</v>
      </c>
      <c r="K7" s="17">
        <v>286.51743257673365</v>
      </c>
    </row>
    <row r="8" spans="3:11" x14ac:dyDescent="0.35">
      <c r="J8" s="19">
        <v>0.06</v>
      </c>
      <c r="K8" s="17">
        <v>289.99202294141872</v>
      </c>
    </row>
    <row r="9" spans="3:11" x14ac:dyDescent="0.35">
      <c r="J9" s="19">
        <v>6.5000000000000002E-2</v>
      </c>
      <c r="K9" s="17">
        <v>293.4922232809281</v>
      </c>
    </row>
    <row r="10" spans="3:11" ht="15" thickBot="1" x14ac:dyDescent="0.4">
      <c r="J10" s="19">
        <v>7.0000000000000007E-2</v>
      </c>
      <c r="K10" s="17">
        <v>297.01797810524306</v>
      </c>
    </row>
    <row r="11" spans="3:11" ht="15.5" thickTop="1" thickBot="1" x14ac:dyDescent="0.4">
      <c r="C11" s="1" t="s">
        <v>16</v>
      </c>
      <c r="D11" s="1">
        <v>25</v>
      </c>
      <c r="J11" s="19">
        <v>7.4999999999999997E-2</v>
      </c>
      <c r="K11" s="17">
        <v>300.56922893435649</v>
      </c>
    </row>
    <row r="12" spans="3:11" ht="15.5" thickTop="1" thickBot="1" x14ac:dyDescent="0.4">
      <c r="C12" s="1" t="s">
        <v>17</v>
      </c>
      <c r="D12" s="1">
        <v>500</v>
      </c>
      <c r="J12" s="19">
        <v>0.08</v>
      </c>
      <c r="K12" s="17">
        <v>304.14591432620523</v>
      </c>
    </row>
    <row r="13" spans="3:11" ht="15.5" thickTop="1" thickBot="1" x14ac:dyDescent="0.4">
      <c r="C13" s="1" t="s">
        <v>4</v>
      </c>
      <c r="D13" s="1">
        <f>D11*D12</f>
        <v>12500</v>
      </c>
    </row>
    <row r="14" spans="3:11" ht="15" thickTop="1" x14ac:dyDescent="0.35"/>
    <row r="16" spans="3:11" x14ac:dyDescent="0.35">
      <c r="D16">
        <f>D13</f>
        <v>12500</v>
      </c>
      <c r="E16">
        <v>400</v>
      </c>
      <c r="F16">
        <v>500</v>
      </c>
      <c r="G16">
        <v>600</v>
      </c>
    </row>
    <row r="17" spans="2:14" x14ac:dyDescent="0.35">
      <c r="D17">
        <v>20</v>
      </c>
      <c r="E17">
        <f t="dataTable" ref="E17:G19" dt2D="1" dtr="1" r1="D12" r2="D11"/>
        <v>8000</v>
      </c>
      <c r="F17">
        <v>10000</v>
      </c>
      <c r="G17">
        <v>12000</v>
      </c>
    </row>
    <row r="18" spans="2:14" x14ac:dyDescent="0.35">
      <c r="D18">
        <v>25</v>
      </c>
      <c r="E18">
        <v>10000</v>
      </c>
      <c r="F18">
        <v>12500</v>
      </c>
      <c r="G18">
        <v>15000</v>
      </c>
    </row>
    <row r="19" spans="2:14" x14ac:dyDescent="0.35">
      <c r="D19">
        <v>30</v>
      </c>
      <c r="E19">
        <v>12000</v>
      </c>
      <c r="F19">
        <v>15000</v>
      </c>
      <c r="G19">
        <v>18000</v>
      </c>
    </row>
    <row r="23" spans="2:14" ht="15" thickBot="1" x14ac:dyDescent="0.4"/>
    <row r="24" spans="2:14" ht="20.5" customHeight="1" thickTop="1" thickBot="1" x14ac:dyDescent="0.4">
      <c r="B24" s="4" t="s">
        <v>18</v>
      </c>
      <c r="C24" s="4" t="s">
        <v>19</v>
      </c>
    </row>
    <row r="25" spans="2:14" ht="26.5" customHeight="1" thickTop="1" thickBot="1" x14ac:dyDescent="0.4">
      <c r="B25" s="5" t="s">
        <v>20</v>
      </c>
      <c r="C25" s="6">
        <v>50</v>
      </c>
    </row>
    <row r="26" spans="2:14" ht="23" customHeight="1" thickTop="1" thickBot="1" x14ac:dyDescent="0.4">
      <c r="B26" s="6" t="s">
        <v>21</v>
      </c>
      <c r="C26" s="6">
        <v>1000</v>
      </c>
    </row>
    <row r="27" spans="2:14" ht="28.5" customHeight="1" thickTop="1" thickBot="1" x14ac:dyDescent="0.4">
      <c r="B27" s="4" t="s">
        <v>22</v>
      </c>
      <c r="C27" s="7">
        <v>20</v>
      </c>
      <c r="E27" s="8">
        <f>C29</f>
        <v>5000</v>
      </c>
      <c r="F27" s="9">
        <v>200</v>
      </c>
      <c r="G27" s="9">
        <v>200</v>
      </c>
      <c r="H27" s="9">
        <v>200</v>
      </c>
      <c r="I27" s="9">
        <v>300</v>
      </c>
      <c r="J27" s="9">
        <v>300</v>
      </c>
      <c r="K27" s="9">
        <v>300</v>
      </c>
      <c r="L27" s="9">
        <v>400</v>
      </c>
      <c r="M27" s="9">
        <v>400</v>
      </c>
      <c r="N27" s="10">
        <v>400</v>
      </c>
    </row>
    <row r="28" spans="2:14" ht="22.5" customHeight="1" thickTop="1" thickBot="1" x14ac:dyDescent="0.4">
      <c r="B28" s="4" t="s">
        <v>23</v>
      </c>
      <c r="C28" s="7">
        <v>200</v>
      </c>
      <c r="E28" s="11">
        <v>20</v>
      </c>
      <c r="F28" s="12">
        <f t="dataTable" ref="F28:N36" dt2D="1" dtr="1" r1="C28" r2="C27"/>
        <v>5000</v>
      </c>
      <c r="G28" s="12">
        <v>5000</v>
      </c>
      <c r="H28" s="12">
        <v>5000</v>
      </c>
      <c r="I28" s="12">
        <v>8000</v>
      </c>
      <c r="J28" s="12">
        <v>8000</v>
      </c>
      <c r="K28" s="12">
        <v>8000</v>
      </c>
      <c r="L28" s="12">
        <v>11000</v>
      </c>
      <c r="M28" s="12">
        <v>11000</v>
      </c>
      <c r="N28" s="13">
        <v>11000</v>
      </c>
    </row>
    <row r="29" spans="2:14" ht="34.5" customHeight="1" thickTop="1" thickBot="1" x14ac:dyDescent="0.4">
      <c r="B29" s="4" t="s">
        <v>24</v>
      </c>
      <c r="C29" s="7">
        <f>(C25-C27)*C28-C26</f>
        <v>5000</v>
      </c>
      <c r="E29" s="11">
        <v>25</v>
      </c>
      <c r="F29" s="12">
        <v>4000</v>
      </c>
      <c r="G29" s="12">
        <v>4000</v>
      </c>
      <c r="H29" s="12">
        <v>4000</v>
      </c>
      <c r="I29" s="12">
        <v>6500</v>
      </c>
      <c r="J29" s="12">
        <v>6500</v>
      </c>
      <c r="K29" s="12">
        <v>6500</v>
      </c>
      <c r="L29" s="12">
        <v>9000</v>
      </c>
      <c r="M29" s="12">
        <v>9000</v>
      </c>
      <c r="N29" s="13">
        <v>9000</v>
      </c>
    </row>
    <row r="30" spans="2:14" ht="15" thickTop="1" x14ac:dyDescent="0.35">
      <c r="E30" s="11">
        <v>30</v>
      </c>
      <c r="F30" s="12">
        <v>3000</v>
      </c>
      <c r="G30" s="12">
        <v>3000</v>
      </c>
      <c r="H30" s="12">
        <v>3000</v>
      </c>
      <c r="I30" s="12">
        <v>5000</v>
      </c>
      <c r="J30" s="12">
        <v>5000</v>
      </c>
      <c r="K30" s="12">
        <v>5000</v>
      </c>
      <c r="L30" s="12">
        <v>7000</v>
      </c>
      <c r="M30" s="12">
        <v>7000</v>
      </c>
      <c r="N30" s="13">
        <v>7000</v>
      </c>
    </row>
    <row r="31" spans="2:14" x14ac:dyDescent="0.35">
      <c r="E31" s="11">
        <v>20</v>
      </c>
      <c r="F31" s="12">
        <v>5000</v>
      </c>
      <c r="G31" s="12">
        <v>5000</v>
      </c>
      <c r="H31" s="12">
        <v>5000</v>
      </c>
      <c r="I31" s="12">
        <v>8000</v>
      </c>
      <c r="J31" s="12">
        <v>8000</v>
      </c>
      <c r="K31" s="12">
        <v>8000</v>
      </c>
      <c r="L31" s="12">
        <v>11000</v>
      </c>
      <c r="M31" s="12">
        <v>11000</v>
      </c>
      <c r="N31" s="13">
        <v>11000</v>
      </c>
    </row>
    <row r="32" spans="2:14" x14ac:dyDescent="0.35">
      <c r="E32" s="11">
        <v>25</v>
      </c>
      <c r="F32" s="12">
        <v>4000</v>
      </c>
      <c r="G32" s="12">
        <v>4000</v>
      </c>
      <c r="H32" s="12">
        <v>4000</v>
      </c>
      <c r="I32" s="12">
        <v>6500</v>
      </c>
      <c r="J32" s="12">
        <v>6500</v>
      </c>
      <c r="K32" s="12">
        <v>6500</v>
      </c>
      <c r="L32" s="12">
        <v>9000</v>
      </c>
      <c r="M32" s="12">
        <v>9000</v>
      </c>
      <c r="N32" s="13">
        <v>9000</v>
      </c>
    </row>
    <row r="33" spans="5:14" x14ac:dyDescent="0.35">
      <c r="E33" s="11">
        <v>30</v>
      </c>
      <c r="F33" s="12">
        <v>3000</v>
      </c>
      <c r="G33" s="12">
        <v>3000</v>
      </c>
      <c r="H33" s="12">
        <v>3000</v>
      </c>
      <c r="I33" s="12">
        <v>5000</v>
      </c>
      <c r="J33" s="12">
        <v>5000</v>
      </c>
      <c r="K33" s="12">
        <v>5000</v>
      </c>
      <c r="L33" s="12">
        <v>7000</v>
      </c>
      <c r="M33" s="12">
        <v>7000</v>
      </c>
      <c r="N33" s="13">
        <v>7000</v>
      </c>
    </row>
    <row r="34" spans="5:14" x14ac:dyDescent="0.35">
      <c r="E34" s="11">
        <v>20</v>
      </c>
      <c r="F34" s="12">
        <v>5000</v>
      </c>
      <c r="G34" s="12">
        <v>5000</v>
      </c>
      <c r="H34" s="12">
        <v>5000</v>
      </c>
      <c r="I34" s="12">
        <v>8000</v>
      </c>
      <c r="J34" s="12">
        <v>8000</v>
      </c>
      <c r="K34" s="12">
        <v>8000</v>
      </c>
      <c r="L34" s="12">
        <v>11000</v>
      </c>
      <c r="M34" s="12">
        <v>11000</v>
      </c>
      <c r="N34" s="13">
        <v>11000</v>
      </c>
    </row>
    <row r="35" spans="5:14" x14ac:dyDescent="0.35">
      <c r="E35" s="11">
        <v>25</v>
      </c>
      <c r="F35" s="12">
        <v>4000</v>
      </c>
      <c r="G35" s="12">
        <v>4000</v>
      </c>
      <c r="H35" s="12">
        <v>4000</v>
      </c>
      <c r="I35" s="12">
        <v>6500</v>
      </c>
      <c r="J35" s="12">
        <v>6500</v>
      </c>
      <c r="K35" s="12">
        <v>6500</v>
      </c>
      <c r="L35" s="12">
        <v>9000</v>
      </c>
      <c r="M35" s="12">
        <v>9000</v>
      </c>
      <c r="N35" s="13">
        <v>9000</v>
      </c>
    </row>
    <row r="36" spans="5:14" x14ac:dyDescent="0.35">
      <c r="E36" s="14">
        <v>30</v>
      </c>
      <c r="F36" s="15">
        <v>3000</v>
      </c>
      <c r="G36" s="15">
        <v>3000</v>
      </c>
      <c r="H36" s="15">
        <v>3000</v>
      </c>
      <c r="I36" s="15">
        <v>5000</v>
      </c>
      <c r="J36" s="15">
        <v>5000</v>
      </c>
      <c r="K36" s="15">
        <v>5000</v>
      </c>
      <c r="L36" s="15">
        <v>7000</v>
      </c>
      <c r="M36" s="15">
        <v>7000</v>
      </c>
      <c r="N36" s="16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2026-10-27T08:57:42Z</dcterms:created>
  <dcterms:modified xsi:type="dcterms:W3CDTF">2026-10-27T10:03:14Z</dcterms:modified>
</cp:coreProperties>
</file>